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13_ncr:1_{3EDFC267-ABCA-4E4F-A94D-BE47AFA7D391}" xr6:coauthVersionLast="47" xr6:coauthVersionMax="47" xr10:uidLastSave="{00000000-0000-0000-0000-000000000000}"/>
  <bookViews>
    <workbookView xWindow="-120" yWindow="-120" windowWidth="24240" windowHeight="13140" xr2:uid="{35834C68-EA4E-47BB-A873-E079C25DDD72}"/>
  </bookViews>
  <sheets>
    <sheet name="Sheet1" sheetId="1" r:id="rId1"/>
    <sheet name="Summary" sheetId="2" r:id="rId2"/>
    <sheet name="ChartReb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2" l="1"/>
  <c r="I13" i="2"/>
  <c r="I14" i="2"/>
  <c r="I15" i="2"/>
  <c r="I16" i="2"/>
  <c r="I17" i="2"/>
  <c r="I11" i="2"/>
  <c r="F23" i="2"/>
  <c r="F22" i="2"/>
  <c r="F21" i="2"/>
  <c r="J15" i="2"/>
  <c r="H15" i="2"/>
  <c r="J16" i="2"/>
  <c r="H16" i="2"/>
  <c r="J11" i="2"/>
  <c r="H11" i="2"/>
  <c r="J17" i="2"/>
  <c r="H17" i="2"/>
  <c r="J13" i="2"/>
  <c r="H13" i="2"/>
  <c r="J12" i="2"/>
  <c r="H12" i="2"/>
  <c r="J14" i="2"/>
  <c r="H14" i="2"/>
  <c r="J10" i="1"/>
  <c r="J11" i="1"/>
  <c r="J12" i="1"/>
  <c r="J13" i="1"/>
  <c r="J14" i="1"/>
  <c r="J15" i="1"/>
  <c r="J9" i="1"/>
  <c r="I17" i="1"/>
  <c r="F21" i="1"/>
  <c r="F20" i="1"/>
  <c r="F19" i="1"/>
  <c r="H10" i="1"/>
  <c r="H11" i="1"/>
  <c r="H12" i="1"/>
  <c r="H13" i="1"/>
  <c r="H14" i="1"/>
  <c r="H15" i="1"/>
  <c r="H9" i="1"/>
</calcChain>
</file>

<file path=xl/sharedStrings.xml><?xml version="1.0" encoding="utf-8"?>
<sst xmlns="http://schemas.openxmlformats.org/spreadsheetml/2006/main" count="56" uniqueCount="24">
  <si>
    <t>Employees Report</t>
  </si>
  <si>
    <t>ID</t>
  </si>
  <si>
    <t>Employee Name</t>
  </si>
  <si>
    <t>Department</t>
  </si>
  <si>
    <t>Sales</t>
  </si>
  <si>
    <t>Target</t>
  </si>
  <si>
    <t>Status</t>
  </si>
  <si>
    <t>Bonus</t>
  </si>
  <si>
    <t>Notes</t>
  </si>
  <si>
    <t>Ahmad</t>
  </si>
  <si>
    <t>IT</t>
  </si>
  <si>
    <t>Sara</t>
  </si>
  <si>
    <t>HR</t>
  </si>
  <si>
    <t>Lina</t>
  </si>
  <si>
    <t>Omar</t>
  </si>
  <si>
    <t>Noor</t>
  </si>
  <si>
    <t>Ali</t>
  </si>
  <si>
    <t>Rana</t>
  </si>
  <si>
    <t>Highest Sales</t>
  </si>
  <si>
    <t>Number of Employees in IT Department</t>
  </si>
  <si>
    <t>Total Sales  &gt; 300</t>
  </si>
  <si>
    <t>Difference</t>
  </si>
  <si>
    <t xml:space="preserve"> 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</si>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</sst>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name val="Arial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0" borderId="1" xfId="1" applyBorder="1"/>
    <xf numFmtId="0" fontId="1" fillId="0" borderId="0" xfId="1" applyBorder="1"/>
    <xf numFmtId="0" fontId="1" fillId="0" borderId="4" xfId="1" applyBorder="1" applyAlignment="1"/>
    <xf numFmtId="0" fontId="1" fillId="0" borderId="5" xfId="1" applyBorder="1" applyAlignment="1"/>
    <xf numFmtId="0" fontId="1" fillId="0" borderId="6" xfId="1" applyBorder="1" applyAlignment="1"/>
    <xf numFmtId="0" fontId="1" fillId="0" borderId="0" xfId="1" applyBorder="1" applyAlignment="1"/>
    <xf numFmtId="0" fontId="1" fillId="0" borderId="7" xfId="1" applyBorder="1" applyAlignment="1"/>
    <xf numFmtId="0" fontId="0" fillId="0" borderId="3" xfId="0" applyBorder="1"/>
    <xf numFmtId="0" fontId="0" fillId="0" borderId="4" xfId="0" applyBorder="1"/>
    <xf numFmtId="0" fontId="2" fillId="0" borderId="0" xfId="1" applyFont="1" applyBorder="1" applyAlignment="1"/>
    <xf numFmtId="0" fontId="1" fillId="0" borderId="8" xfId="1" applyBorder="1" applyAlignment="1"/>
    <xf numFmtId="0" fontId="1" fillId="0" borderId="9" xfId="1" applyBorder="1" applyAlignment="1"/>
    <xf numFmtId="0" fontId="1" fillId="0" borderId="10" xfId="1" applyBorder="1" applyAlignment="1"/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1" fillId="0" borderId="13" xfId="1" applyBorder="1"/>
    <xf numFmtId="0" fontId="1" fillId="0" borderId="16" xfId="1" applyBorder="1"/>
    <xf numFmtId="0" fontId="0" fillId="0" borderId="19" xfId="0" applyBorder="1"/>
    <xf numFmtId="0" fontId="1" fillId="0" borderId="20" xfId="1" applyBorder="1"/>
    <xf numFmtId="0" fontId="1" fillId="0" borderId="21" xfId="1" applyBorder="1"/>
    <xf numFmtId="0" fontId="0" fillId="0" borderId="22" xfId="0" applyBorder="1"/>
    <xf numFmtId="0" fontId="1" fillId="2" borderId="12" xfId="1" applyFill="1" applyBorder="1" applyAlignment="1">
      <alignment horizontal="left" vertical="center"/>
    </xf>
    <xf numFmtId="0" fontId="1" fillId="2" borderId="15" xfId="1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2" fillId="2" borderId="11" xfId="1" applyFont="1" applyFill="1" applyBorder="1" applyAlignment="1">
      <alignment horizontal="left" vertical="center"/>
    </xf>
    <xf numFmtId="0" fontId="2" fillId="2" borderId="14" xfId="1" applyFont="1" applyFill="1" applyBorder="1" applyAlignment="1">
      <alignment horizontal="left" vertical="center"/>
    </xf>
    <xf numFmtId="0" fontId="2" fillId="2" borderId="15" xfId="1" applyFont="1" applyFill="1" applyBorder="1" applyAlignment="1">
      <alignment horizontal="left" vertical="center"/>
    </xf>
    <xf numFmtId="0" fontId="0" fillId="0" borderId="0" xfId="0" applyBorder="1"/>
    <xf numFmtId="0" fontId="1" fillId="0" borderId="1" xfId="1" applyBorder="1" applyAlignment="1">
      <alignment horizontal="center" vertical="center"/>
    </xf>
    <xf numFmtId="0" fontId="3" fillId="0" borderId="0" xfId="1" applyFont="1" applyBorder="1"/>
  </cellXfs>
  <cellStyles count="2">
    <cellStyle name="Normal" xfId="0" builtinId="0"/>
    <cellStyle name="Normal 2" xfId="1" xr:uid="{A90468FF-A8AB-42C3-9FEE-3B75CB3A18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Rebort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Summary!$D$10</c:f>
              <c:strCache>
                <c:ptCount val="1"/>
                <c:pt idx="0">
                  <c:v>Employee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Summary!$D$11:$D$17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A-483C-84E3-84D9F07BD16D}"/>
            </c:ext>
          </c:extLst>
        </c:ser>
        <c:ser>
          <c:idx val="1"/>
          <c:order val="1"/>
          <c:tx>
            <c:strRef>
              <c:f>Summary!$F$10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Summary!$F$11:$F$17</c:f>
              <c:numCache>
                <c:formatCode>General</c:formatCode>
                <c:ptCount val="7"/>
                <c:pt idx="0">
                  <c:v>400</c:v>
                </c:pt>
                <c:pt idx="1">
                  <c:v>300</c:v>
                </c:pt>
                <c:pt idx="2">
                  <c:v>700</c:v>
                </c:pt>
                <c:pt idx="3">
                  <c:v>500</c:v>
                </c:pt>
                <c:pt idx="4">
                  <c:v>350</c:v>
                </c:pt>
                <c:pt idx="5">
                  <c:v>650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BA-483C-84E3-84D9F07BD16D}"/>
            </c:ext>
          </c:extLst>
        </c:ser>
        <c:ser>
          <c:idx val="2"/>
          <c:order val="2"/>
          <c:tx>
            <c:strRef>
              <c:f>Summary!$G$10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Summary!$G$11:$G$17</c:f>
              <c:numCache>
                <c:formatCode>General</c:formatCode>
                <c:ptCount val="7"/>
                <c:pt idx="0">
                  <c:v>400</c:v>
                </c:pt>
                <c:pt idx="1">
                  <c:v>350</c:v>
                </c:pt>
                <c:pt idx="2">
                  <c:v>600</c:v>
                </c:pt>
                <c:pt idx="3">
                  <c:v>450</c:v>
                </c:pt>
                <c:pt idx="4">
                  <c:v>400</c:v>
                </c:pt>
                <c:pt idx="5">
                  <c:v>500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BA-483C-84E3-84D9F07BD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797247"/>
        <c:axId val="1216802047"/>
      </c:barChart>
      <c:catAx>
        <c:axId val="1216797247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16802047"/>
        <c:crosses val="autoZero"/>
        <c:auto val="1"/>
        <c:lblAlgn val="ctr"/>
        <c:lblOffset val="100"/>
        <c:noMultiLvlLbl val="0"/>
      </c:catAx>
      <c:valAx>
        <c:axId val="121680204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167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Rebort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3.956478733926805E-3"/>
          <c:y val="0.15943925233644859"/>
          <c:w val="0.9207634134753927"/>
          <c:h val="0.68768415630289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Summary!$D$10</c:f>
              <c:strCache>
                <c:ptCount val="1"/>
                <c:pt idx="0">
                  <c:v>Employee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Summary!$D$11:$D$17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E-476A-BEF0-5C5940695B33}"/>
            </c:ext>
          </c:extLst>
        </c:ser>
        <c:ser>
          <c:idx val="1"/>
          <c:order val="1"/>
          <c:tx>
            <c:strRef>
              <c:f>Summary!$F$10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Summary!$F$11:$F$17</c:f>
              <c:numCache>
                <c:formatCode>General</c:formatCode>
                <c:ptCount val="7"/>
                <c:pt idx="0">
                  <c:v>400</c:v>
                </c:pt>
                <c:pt idx="1">
                  <c:v>300</c:v>
                </c:pt>
                <c:pt idx="2">
                  <c:v>700</c:v>
                </c:pt>
                <c:pt idx="3">
                  <c:v>500</c:v>
                </c:pt>
                <c:pt idx="4">
                  <c:v>350</c:v>
                </c:pt>
                <c:pt idx="5">
                  <c:v>650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E-476A-BEF0-5C5940695B33}"/>
            </c:ext>
          </c:extLst>
        </c:ser>
        <c:ser>
          <c:idx val="2"/>
          <c:order val="2"/>
          <c:tx>
            <c:strRef>
              <c:f>Summary!$G$10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Summary!$G$11:$G$17</c:f>
              <c:numCache>
                <c:formatCode>General</c:formatCode>
                <c:ptCount val="7"/>
                <c:pt idx="0">
                  <c:v>400</c:v>
                </c:pt>
                <c:pt idx="1">
                  <c:v>350</c:v>
                </c:pt>
                <c:pt idx="2">
                  <c:v>600</c:v>
                </c:pt>
                <c:pt idx="3">
                  <c:v>450</c:v>
                </c:pt>
                <c:pt idx="4">
                  <c:v>400</c:v>
                </c:pt>
                <c:pt idx="5">
                  <c:v>500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3E-476A-BEF0-5C5940695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797247"/>
        <c:axId val="1216802047"/>
      </c:barChart>
      <c:catAx>
        <c:axId val="1216797247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16802047"/>
        <c:crosses val="autoZero"/>
        <c:auto val="1"/>
        <c:lblAlgn val="ctr"/>
        <c:lblOffset val="100"/>
        <c:noMultiLvlLbl val="0"/>
      </c:catAx>
      <c:valAx>
        <c:axId val="121680204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1679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28</xdr:row>
      <xdr:rowOff>142875</xdr:rowOff>
    </xdr:from>
    <xdr:to>
      <xdr:col>15</xdr:col>
      <xdr:colOff>228600</xdr:colOff>
      <xdr:row>43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A4659-0606-A608-BF95-A8D9607D3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4</xdr:row>
      <xdr:rowOff>171450</xdr:rowOff>
    </xdr:from>
    <xdr:to>
      <xdr:col>13</xdr:col>
      <xdr:colOff>171450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6B381-0CDD-4C1F-A039-27BDC4DF1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A9E6-B210-4B59-9846-ED65F9FAB139}">
  <dimension ref="C5:K22"/>
  <sheetViews>
    <sheetView tabSelected="1" workbookViewId="0">
      <selection activeCell="G24" sqref="G24"/>
    </sheetView>
  </sheetViews>
  <sheetFormatPr defaultRowHeight="14.25" x14ac:dyDescent="0.2"/>
  <cols>
    <col min="4" max="4" width="10.5" customWidth="1"/>
    <col min="5" max="5" width="16.25" customWidth="1"/>
    <col min="6" max="9" width="11.125" customWidth="1"/>
    <col min="10" max="10" width="11.5" customWidth="1"/>
    <col min="11" max="11" width="10.75" customWidth="1"/>
  </cols>
  <sheetData>
    <row r="5" spans="3:11" x14ac:dyDescent="0.2">
      <c r="C5" s="8"/>
      <c r="D5" s="9"/>
      <c r="E5" s="3"/>
      <c r="F5" s="3"/>
      <c r="G5" s="3"/>
      <c r="H5" s="3"/>
      <c r="I5" s="3"/>
      <c r="J5" s="3"/>
      <c r="K5" s="4"/>
    </row>
    <row r="6" spans="3:11" ht="15" x14ac:dyDescent="0.25">
      <c r="C6" s="5"/>
      <c r="D6" s="6"/>
      <c r="E6" s="6"/>
      <c r="F6" s="10" t="s">
        <v>0</v>
      </c>
      <c r="G6" s="10"/>
      <c r="H6" s="10"/>
      <c r="I6" s="6"/>
      <c r="J6" s="6"/>
      <c r="K6" s="7"/>
    </row>
    <row r="7" spans="3:11" x14ac:dyDescent="0.2">
      <c r="C7" s="11"/>
      <c r="D7" s="12"/>
      <c r="E7" s="12"/>
      <c r="F7" s="12"/>
      <c r="G7" s="12"/>
      <c r="H7" s="12"/>
      <c r="I7" s="12"/>
      <c r="J7" s="12"/>
      <c r="K7" s="13"/>
    </row>
    <row r="8" spans="3:11" ht="65.25" customHeight="1" x14ac:dyDescent="0.2">
      <c r="C8" s="14" t="s">
        <v>1</v>
      </c>
      <c r="D8" s="15" t="s">
        <v>2</v>
      </c>
      <c r="E8" s="14" t="s">
        <v>3</v>
      </c>
      <c r="F8" s="14" t="s">
        <v>4</v>
      </c>
      <c r="G8" s="14" t="s">
        <v>5</v>
      </c>
      <c r="H8" s="14" t="s">
        <v>21</v>
      </c>
      <c r="I8" s="14" t="s">
        <v>6</v>
      </c>
      <c r="J8" s="14" t="s">
        <v>7</v>
      </c>
      <c r="K8" s="14" t="s">
        <v>8</v>
      </c>
    </row>
    <row r="9" spans="3:11" x14ac:dyDescent="0.2">
      <c r="C9" s="1">
        <v>1</v>
      </c>
      <c r="D9" s="1" t="s">
        <v>9</v>
      </c>
      <c r="E9" s="1" t="s">
        <v>10</v>
      </c>
      <c r="F9" s="1">
        <v>500</v>
      </c>
      <c r="G9" s="1">
        <v>450</v>
      </c>
      <c r="H9" s="30">
        <f>F9-G9</f>
        <v>50</v>
      </c>
      <c r="I9" s="1"/>
      <c r="J9" s="1">
        <f>IF(AND(F7&gt;=G7, F7&gt;500), F7*15%,0)</f>
        <v>0</v>
      </c>
      <c r="K9" s="1"/>
    </row>
    <row r="10" spans="3:11" x14ac:dyDescent="0.2">
      <c r="C10" s="1">
        <v>2</v>
      </c>
      <c r="D10" s="1" t="s">
        <v>11</v>
      </c>
      <c r="E10" s="1" t="s">
        <v>12</v>
      </c>
      <c r="F10" s="1">
        <v>300</v>
      </c>
      <c r="G10" s="1">
        <v>350</v>
      </c>
      <c r="H10" s="30">
        <f t="shared" ref="H10:H15" si="0">F10-G10</f>
        <v>-50</v>
      </c>
      <c r="I10" s="1"/>
      <c r="J10" s="1">
        <f t="shared" ref="J10:J15" si="1">IF(AND(F8&gt;=G8, F8&gt;500), F8*15%,0)</f>
        <v>0</v>
      </c>
      <c r="K10" s="1"/>
    </row>
    <row r="11" spans="3:11" x14ac:dyDescent="0.2">
      <c r="C11" s="1">
        <v>3</v>
      </c>
      <c r="D11" s="1" t="s">
        <v>13</v>
      </c>
      <c r="E11" s="1" t="s">
        <v>10</v>
      </c>
      <c r="F11" s="1">
        <v>700</v>
      </c>
      <c r="G11" s="1">
        <v>600</v>
      </c>
      <c r="H11" s="30">
        <f t="shared" si="0"/>
        <v>100</v>
      </c>
      <c r="I11" s="1"/>
      <c r="J11" s="1">
        <f t="shared" si="1"/>
        <v>0</v>
      </c>
      <c r="K11" s="1"/>
    </row>
    <row r="12" spans="3:11" x14ac:dyDescent="0.2">
      <c r="C12" s="1">
        <v>4</v>
      </c>
      <c r="D12" s="1" t="s">
        <v>14</v>
      </c>
      <c r="E12" s="1" t="s">
        <v>4</v>
      </c>
      <c r="F12" s="1">
        <v>200</v>
      </c>
      <c r="G12" s="1">
        <v>300</v>
      </c>
      <c r="H12" s="30">
        <f t="shared" si="0"/>
        <v>-100</v>
      </c>
      <c r="I12" s="1"/>
      <c r="J12" s="1">
        <f t="shared" si="1"/>
        <v>0</v>
      </c>
      <c r="K12" s="1"/>
    </row>
    <row r="13" spans="3:11" x14ac:dyDescent="0.2">
      <c r="C13" s="1">
        <v>5</v>
      </c>
      <c r="D13" s="1" t="s">
        <v>15</v>
      </c>
      <c r="E13" s="1" t="s">
        <v>12</v>
      </c>
      <c r="F13" s="1">
        <v>400</v>
      </c>
      <c r="G13" s="1">
        <v>400</v>
      </c>
      <c r="H13" s="30">
        <f t="shared" si="0"/>
        <v>0</v>
      </c>
      <c r="I13" s="1"/>
      <c r="J13" s="1">
        <f t="shared" si="1"/>
        <v>105</v>
      </c>
      <c r="K13" s="1"/>
    </row>
    <row r="14" spans="3:11" x14ac:dyDescent="0.2">
      <c r="C14" s="1">
        <v>6</v>
      </c>
      <c r="D14" s="1" t="s">
        <v>16</v>
      </c>
      <c r="E14" s="1" t="s">
        <v>4</v>
      </c>
      <c r="F14" s="1">
        <v>650</v>
      </c>
      <c r="G14" s="1">
        <v>500</v>
      </c>
      <c r="H14" s="30">
        <f t="shared" si="0"/>
        <v>150</v>
      </c>
      <c r="I14" s="1"/>
      <c r="J14" s="1">
        <f t="shared" si="1"/>
        <v>0</v>
      </c>
      <c r="K14" s="1"/>
    </row>
    <row r="15" spans="3:11" x14ac:dyDescent="0.2">
      <c r="C15" s="1">
        <v>7</v>
      </c>
      <c r="D15" s="1" t="s">
        <v>17</v>
      </c>
      <c r="E15" s="1" t="s">
        <v>10</v>
      </c>
      <c r="F15" s="1">
        <v>350</v>
      </c>
      <c r="G15" s="1">
        <v>400</v>
      </c>
      <c r="H15" s="30">
        <f t="shared" si="0"/>
        <v>-50</v>
      </c>
      <c r="I15" s="1"/>
      <c r="J15" s="1">
        <f t="shared" si="1"/>
        <v>0</v>
      </c>
      <c r="K15" s="1"/>
    </row>
    <row r="16" spans="3:11" x14ac:dyDescent="0.2">
      <c r="C16" s="1"/>
      <c r="D16" s="1"/>
      <c r="E16" s="1"/>
      <c r="F16" s="1"/>
      <c r="G16" s="1"/>
      <c r="H16" s="1"/>
      <c r="I16" s="1"/>
      <c r="J16" s="1"/>
      <c r="K16" s="1"/>
    </row>
    <row r="17" spans="3:9" x14ac:dyDescent="0.2">
      <c r="I17" t="str">
        <f>IF(F7&gt;=G7, "Achieved","Not Achieved")</f>
        <v>Achieved</v>
      </c>
    </row>
    <row r="19" spans="3:9" ht="15.75" thickBot="1" x14ac:dyDescent="0.25">
      <c r="C19" s="26" t="s">
        <v>18</v>
      </c>
      <c r="D19" s="22"/>
      <c r="E19" s="22"/>
      <c r="F19" s="19">
        <f>MAX(F9:F15)</f>
        <v>700</v>
      </c>
      <c r="G19" s="16"/>
      <c r="H19" s="2"/>
    </row>
    <row r="20" spans="3:9" ht="15.75" thickBot="1" x14ac:dyDescent="0.25">
      <c r="C20" s="27" t="s">
        <v>19</v>
      </c>
      <c r="D20" s="23"/>
      <c r="E20" s="23"/>
      <c r="F20" s="20">
        <f>COUNTIF(E7:E15,"IT")</f>
        <v>3</v>
      </c>
      <c r="G20" s="17"/>
      <c r="H20" s="31" t="s">
        <v>22</v>
      </c>
    </row>
    <row r="21" spans="3:9" ht="15.75" thickBot="1" x14ac:dyDescent="0.25">
      <c r="C21" s="27" t="s">
        <v>20</v>
      </c>
      <c r="D21" s="28"/>
      <c r="E21" s="23"/>
      <c r="F21" s="20">
        <f>SUMIF(F9:F15,"&gt;300")</f>
        <v>2600</v>
      </c>
      <c r="G21" s="17"/>
      <c r="H21" s="2"/>
    </row>
    <row r="22" spans="3:9" x14ac:dyDescent="0.2">
      <c r="C22" s="24"/>
      <c r="D22" s="25"/>
      <c r="E22" s="25"/>
      <c r="F22" s="21"/>
      <c r="G22" s="18"/>
      <c r="H22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9BF9-CAFD-4F33-A466-4C80A894ECF1}">
  <dimension ref="C7:K24"/>
  <sheetViews>
    <sheetView topLeftCell="A10" workbookViewId="0">
      <selection activeCell="H24" sqref="H24"/>
    </sheetView>
  </sheetViews>
  <sheetFormatPr defaultRowHeight="14.25" x14ac:dyDescent="0.2"/>
  <sheetData>
    <row r="7" spans="3:11" x14ac:dyDescent="0.2">
      <c r="C7" s="8"/>
      <c r="D7" s="9"/>
      <c r="E7" s="3"/>
      <c r="F7" s="3"/>
      <c r="G7" s="3"/>
      <c r="H7" s="3"/>
      <c r="I7" s="3"/>
      <c r="J7" s="3"/>
      <c r="K7" s="4"/>
    </row>
    <row r="8" spans="3:11" ht="15" x14ac:dyDescent="0.25">
      <c r="C8" s="5"/>
      <c r="D8" s="6"/>
      <c r="E8" s="6"/>
      <c r="F8" s="10" t="s">
        <v>0</v>
      </c>
      <c r="G8" s="10"/>
      <c r="H8" s="10"/>
      <c r="I8" s="6"/>
      <c r="J8" s="6"/>
      <c r="K8" s="7"/>
    </row>
    <row r="9" spans="3:11" x14ac:dyDescent="0.2">
      <c r="C9" s="11"/>
      <c r="D9" s="12"/>
      <c r="E9" s="12"/>
      <c r="F9" s="12"/>
      <c r="G9" s="12"/>
      <c r="H9" s="12"/>
      <c r="I9" s="12"/>
      <c r="J9" s="12"/>
      <c r="K9" s="13"/>
    </row>
    <row r="10" spans="3:11" ht="30" x14ac:dyDescent="0.2">
      <c r="C10" s="14" t="s">
        <v>1</v>
      </c>
      <c r="D10" s="15" t="s">
        <v>2</v>
      </c>
      <c r="E10" s="14" t="s">
        <v>3</v>
      </c>
      <c r="F10" s="14" t="s">
        <v>4</v>
      </c>
      <c r="G10" s="14" t="s">
        <v>5</v>
      </c>
      <c r="H10" s="14" t="s">
        <v>21</v>
      </c>
      <c r="I10" s="14" t="s">
        <v>6</v>
      </c>
      <c r="J10" s="14" t="s">
        <v>7</v>
      </c>
      <c r="K10" s="14" t="s">
        <v>8</v>
      </c>
    </row>
    <row r="11" spans="3:11" x14ac:dyDescent="0.2">
      <c r="C11" s="1">
        <v>5</v>
      </c>
      <c r="D11" s="1" t="s">
        <v>15</v>
      </c>
      <c r="E11" s="1" t="s">
        <v>12</v>
      </c>
      <c r="F11" s="1">
        <v>400</v>
      </c>
      <c r="G11" s="1">
        <v>400</v>
      </c>
      <c r="H11" s="30">
        <f>F11-G11</f>
        <v>0</v>
      </c>
      <c r="I11" t="str">
        <f>IF(F11&gt;=G11,"Achieved","Not Achieved")</f>
        <v>Achieved</v>
      </c>
      <c r="J11" s="1">
        <f>IF(AND(F9&gt;=G9, F9&gt;500), F9*15%,0)</f>
        <v>0</v>
      </c>
      <c r="K11" s="1"/>
    </row>
    <row r="12" spans="3:11" x14ac:dyDescent="0.2">
      <c r="C12" s="1">
        <v>2</v>
      </c>
      <c r="D12" s="1" t="s">
        <v>11</v>
      </c>
      <c r="E12" s="1" t="s">
        <v>12</v>
      </c>
      <c r="F12" s="1">
        <v>300</v>
      </c>
      <c r="G12" s="1">
        <v>350</v>
      </c>
      <c r="H12" s="30">
        <f>F12-G12</f>
        <v>-50</v>
      </c>
      <c r="I12" t="str">
        <f t="shared" ref="I12:I17" si="0">IF(F12&gt;=G12,"Achieved","Not Achieved")</f>
        <v>Not Achieved</v>
      </c>
      <c r="J12" s="1">
        <f>IF(AND(F10&gt;=G10, F10&gt;500), F10*15%,0)</f>
        <v>0</v>
      </c>
      <c r="K12" s="1"/>
    </row>
    <row r="13" spans="3:11" x14ac:dyDescent="0.2">
      <c r="C13" s="1">
        <v>3</v>
      </c>
      <c r="D13" s="1" t="s">
        <v>13</v>
      </c>
      <c r="E13" s="1" t="s">
        <v>10</v>
      </c>
      <c r="F13" s="1">
        <v>700</v>
      </c>
      <c r="G13" s="1">
        <v>600</v>
      </c>
      <c r="H13" s="30">
        <f>F13-G13</f>
        <v>100</v>
      </c>
      <c r="I13" t="str">
        <f t="shared" si="0"/>
        <v>Achieved</v>
      </c>
      <c r="J13" s="1">
        <f>IF(AND(F11&gt;=G11, F11&gt;500), F11*15%,0)</f>
        <v>0</v>
      </c>
      <c r="K13" s="1"/>
    </row>
    <row r="14" spans="3:11" x14ac:dyDescent="0.2">
      <c r="C14" s="1">
        <v>1</v>
      </c>
      <c r="D14" s="1" t="s">
        <v>9</v>
      </c>
      <c r="E14" s="1" t="s">
        <v>10</v>
      </c>
      <c r="F14" s="1">
        <v>500</v>
      </c>
      <c r="G14" s="1">
        <v>450</v>
      </c>
      <c r="H14" s="30">
        <f>F14-G14</f>
        <v>50</v>
      </c>
      <c r="I14" t="str">
        <f t="shared" si="0"/>
        <v>Achieved</v>
      </c>
      <c r="J14" s="1">
        <f>IF(AND(F12&gt;=G12, F12&gt;500), F12*15%,0)</f>
        <v>0</v>
      </c>
      <c r="K14" s="1"/>
    </row>
    <row r="15" spans="3:11" x14ac:dyDescent="0.2">
      <c r="C15" s="1">
        <v>7</v>
      </c>
      <c r="D15" s="1" t="s">
        <v>17</v>
      </c>
      <c r="E15" s="1" t="s">
        <v>10</v>
      </c>
      <c r="F15" s="1">
        <v>350</v>
      </c>
      <c r="G15" s="1">
        <v>400</v>
      </c>
      <c r="H15" s="30">
        <f>F15-G15</f>
        <v>-50</v>
      </c>
      <c r="I15" t="str">
        <f t="shared" si="0"/>
        <v>Not Achieved</v>
      </c>
      <c r="J15" s="1">
        <f>IF(AND(F13&gt;=G13, F13&gt;500), F13*15%,0)</f>
        <v>105</v>
      </c>
      <c r="K15" s="1"/>
    </row>
    <row r="16" spans="3:11" x14ac:dyDescent="0.2">
      <c r="C16" s="1">
        <v>6</v>
      </c>
      <c r="D16" s="1" t="s">
        <v>16</v>
      </c>
      <c r="E16" s="1" t="s">
        <v>4</v>
      </c>
      <c r="F16" s="1">
        <v>650</v>
      </c>
      <c r="G16" s="1">
        <v>500</v>
      </c>
      <c r="H16" s="30">
        <f>F16-G16</f>
        <v>150</v>
      </c>
      <c r="I16" t="str">
        <f t="shared" si="0"/>
        <v>Achieved</v>
      </c>
      <c r="J16" s="1">
        <f>IF(AND(F14&gt;=G14, F14&gt;500), F14*15%,0)</f>
        <v>0</v>
      </c>
      <c r="K16" s="1"/>
    </row>
    <row r="17" spans="3:11" x14ac:dyDescent="0.2">
      <c r="C17" s="1">
        <v>4</v>
      </c>
      <c r="D17" s="1" t="s">
        <v>14</v>
      </c>
      <c r="E17" s="1" t="s">
        <v>4</v>
      </c>
      <c r="F17" s="1">
        <v>200</v>
      </c>
      <c r="G17" s="1">
        <v>300</v>
      </c>
      <c r="H17" s="30">
        <f>F17-G17</f>
        <v>-100</v>
      </c>
      <c r="I17" t="str">
        <f t="shared" si="0"/>
        <v>Not Achieved</v>
      </c>
      <c r="J17" s="1">
        <f>IF(AND(F15&gt;=G15, F15&gt;500), F15*15%,0)</f>
        <v>0</v>
      </c>
      <c r="K17" s="1"/>
    </row>
    <row r="18" spans="3:11" x14ac:dyDescent="0.2">
      <c r="C18" s="1"/>
      <c r="D18" s="1"/>
      <c r="E18" s="1"/>
      <c r="F18" s="1"/>
      <c r="G18" s="1"/>
      <c r="H18" s="1"/>
      <c r="I18" s="1"/>
      <c r="J18" s="1"/>
      <c r="K18" s="1"/>
    </row>
    <row r="21" spans="3:11" ht="15.75" thickBot="1" x14ac:dyDescent="0.25">
      <c r="C21" s="26" t="s">
        <v>18</v>
      </c>
      <c r="D21" s="22"/>
      <c r="E21" s="22"/>
      <c r="F21" s="19">
        <f>MAX(F11:F17)</f>
        <v>700</v>
      </c>
      <c r="G21" s="16"/>
      <c r="H21" s="2"/>
    </row>
    <row r="22" spans="3:11" ht="15.75" thickBot="1" x14ac:dyDescent="0.25">
      <c r="C22" s="27" t="s">
        <v>19</v>
      </c>
      <c r="D22" s="23"/>
      <c r="E22" s="23"/>
      <c r="F22" s="20">
        <f>COUNTIF(E9:E17,"IT")</f>
        <v>3</v>
      </c>
      <c r="G22" s="17"/>
      <c r="H22" s="31" t="s">
        <v>23</v>
      </c>
    </row>
    <row r="23" spans="3:11" ht="15.75" thickBot="1" x14ac:dyDescent="0.25">
      <c r="C23" s="27" t="s">
        <v>20</v>
      </c>
      <c r="D23" s="28"/>
      <c r="E23" s="23"/>
      <c r="F23" s="20">
        <f>SUMIF(F11:F17,"&gt;300")</f>
        <v>2600</v>
      </c>
      <c r="G23" s="17"/>
      <c r="H23" s="2"/>
    </row>
    <row r="24" spans="3:11" x14ac:dyDescent="0.2">
      <c r="C24" s="24"/>
      <c r="D24" s="25"/>
      <c r="E24" s="25"/>
      <c r="F24" s="21"/>
      <c r="G24" s="18"/>
      <c r="H24" s="29"/>
    </row>
  </sheetData>
  <sortState xmlns:xlrd2="http://schemas.microsoft.com/office/spreadsheetml/2017/richdata2" ref="C11:K18">
    <sortCondition ref="E11:E18"/>
    <sortCondition descending="1" ref="F11:F1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A307-90B4-4E3D-89FF-E6D9BC0C5809}">
  <dimension ref="A1"/>
  <sheetViews>
    <sheetView topLeftCell="A4" workbookViewId="0"/>
  </sheetViews>
  <sheetFormatPr defaultRowHeight="14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ChartRebort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2026-04-14T09:57:31Z</dcterms:created>
  <dcterms:modified xsi:type="dcterms:W3CDTF">2026-04-14T11:11:29Z</dcterms:modified>
</cp:coreProperties>
</file>