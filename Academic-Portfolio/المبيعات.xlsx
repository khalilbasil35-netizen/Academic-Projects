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8_{2B555C9E-0A13-47C8-A638-52A6C67EB3B9}" xr6:coauthVersionLast="47" xr6:coauthVersionMax="47" xr10:uidLastSave="{00000000-0000-0000-0000-000000000000}"/>
  <bookViews>
    <workbookView xWindow="-120" yWindow="-120" windowWidth="24240" windowHeight="13140" xr2:uid="{9D507BD2-4485-4E00-93B5-989AB6D54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C11" i="1"/>
  <c r="C10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<sst xmlns="http://schemas.openxmlformats.org/spreadsheetml/2006/main" count="18" uniqueCount="18">
  <si>
    <t>Proudect No.</t>
  </si>
  <si>
    <t>Proudect Name</t>
  </si>
  <si>
    <t xml:space="preserve">Unit Price </t>
  </si>
  <si>
    <t>Quantity</t>
  </si>
  <si>
    <t>Total Sales.</t>
  </si>
  <si>
    <t>Discount</t>
  </si>
  <si>
    <t>Net Sales</t>
  </si>
  <si>
    <t>Sales Status</t>
  </si>
  <si>
    <t>Maximum</t>
  </si>
  <si>
    <t>Minimunm</t>
  </si>
  <si>
    <t>Chair</t>
  </si>
  <si>
    <t>Table</t>
  </si>
  <si>
    <t>Office</t>
  </si>
  <si>
    <t>Wooden Doors</t>
  </si>
  <si>
    <t>Windows</t>
  </si>
  <si>
    <t>Book shelf</t>
  </si>
  <si>
    <t>Computer table</t>
  </si>
  <si>
    <t>Picture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</si>
</sst>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Tahoma"/>
      <family val="2"/>
    </font>
    <font>
      <b/>
      <u val="double"/>
      <sz val="12"/>
      <color theme="1"/>
      <name val="Tahoma"/>
      <family val="2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SA">
                <a:solidFill>
                  <a:srgbClr val="FF0000"/>
                </a:solidFill>
              </a:rPr>
              <a:t>مبيعات</a:t>
            </a:r>
            <a:r>
              <a:rPr lang="ar-SA" baseline="0">
                <a:solidFill>
                  <a:srgbClr val="FF0000"/>
                </a:solidFill>
              </a:rPr>
              <a:t> الشركة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Proudect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Sheet1!$B$2:$B$9</c:f>
              <c:strCache>
                <c:ptCount val="8"/>
                <c:pt idx="0">
                  <c:v>Chair</c:v>
                </c:pt>
                <c:pt idx="1">
                  <c:v>Table</c:v>
                </c:pt>
                <c:pt idx="2">
                  <c:v>Office</c:v>
                </c:pt>
                <c:pt idx="3">
                  <c:v>Wooden Doors</c:v>
                </c:pt>
                <c:pt idx="4">
                  <c:v>Windows</c:v>
                </c:pt>
                <c:pt idx="5">
                  <c:v>Book shelf</c:v>
                </c:pt>
                <c:pt idx="6">
                  <c:v>Computer table</c:v>
                </c:pt>
                <c:pt idx="7">
                  <c:v>Picture frame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B9-40F7-8D4E-A026E8C1ADA5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Sheet1!$B$2:$B$9</c:f>
              <c:strCache>
                <c:ptCount val="8"/>
                <c:pt idx="0">
                  <c:v>Chair</c:v>
                </c:pt>
                <c:pt idx="1">
                  <c:v>Table</c:v>
                </c:pt>
                <c:pt idx="2">
                  <c:v>Office</c:v>
                </c:pt>
                <c:pt idx="3">
                  <c:v>Wooden Doors</c:v>
                </c:pt>
                <c:pt idx="4">
                  <c:v>Windows</c:v>
                </c:pt>
                <c:pt idx="5">
                  <c:v>Book shelf</c:v>
                </c:pt>
                <c:pt idx="6">
                  <c:v>Computer table</c:v>
                </c:pt>
                <c:pt idx="7">
                  <c:v>Picture frame</c:v>
                </c:pt>
              </c:strCache>
            </c:strRef>
          </c:cat>
          <c:val>
            <c:numRef>
              <c:f>Sheet1!$G$2:$G$9</c:f>
              <c:numCache>
                <c:formatCode>_-[$€-2]\ * #,##0.00_-;\-[$€-2]\ * #,##0.00_-;_-[$€-2]\ * "-"??_-;_-@_-</c:formatCode>
                <c:ptCount val="8"/>
                <c:pt idx="0">
                  <c:v>2700</c:v>
                </c:pt>
                <c:pt idx="1">
                  <c:v>945</c:v>
                </c:pt>
                <c:pt idx="2">
                  <c:v>900</c:v>
                </c:pt>
                <c:pt idx="3">
                  <c:v>2250</c:v>
                </c:pt>
                <c:pt idx="4">
                  <c:v>2025</c:v>
                </c:pt>
                <c:pt idx="5">
                  <c:v>450</c:v>
                </c:pt>
                <c:pt idx="6">
                  <c:v>360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B9-40F7-8D4E-A026E8C1AD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4082512"/>
        <c:axId val="274104112"/>
      </c:barChart>
      <c:catAx>
        <c:axId val="274082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74104112"/>
        <c:crosses val="autoZero"/>
        <c:auto val="1"/>
        <c:lblAlgn val="ctr"/>
        <c:lblOffset val="100"/>
        <c:noMultiLvlLbl val="0"/>
      </c:catAx>
      <c:valAx>
        <c:axId val="2741041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7408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57979</xdr:colOff>
      <xdr:row>12</xdr:row>
      <xdr:rowOff>15734</xdr:rowOff>
    </xdr:from>
    <xdr:to>
      <xdr:col>8</xdr:col>
      <xdr:colOff>57978</xdr:colOff>
      <xdr:row>28</xdr:row>
      <xdr:rowOff>173933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37F7B-8EF8-C394-B7CA-D17DF4AB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3C32-0BE1-42B9-AB0D-6F3331C51DFD}">
  <dimension ref="A1:H11"/>
  <sheetViews>
    <sheetView tabSelected="1" topLeftCell="A4" zoomScale="115" zoomScaleNormal="115" workbookViewId="0">
      <selection activeCell="I32" sqref="I32"/>
    </sheetView>
  </sheetViews>
  <sheetFormatPr defaultRowHeight="14.25" x14ac:dyDescent="0.2"/>
  <cols>
    <col min="1" max="1" width="16" customWidth="1"/>
    <col min="2" max="2" width="14.75" customWidth="1"/>
    <col min="3" max="3" width="11.625" customWidth="1"/>
    <col min="4" max="4" width="10.25" customWidth="1"/>
    <col min="5" max="5" width="15" customWidth="1"/>
    <col min="6" max="6" width="12.375" customWidth="1"/>
    <col min="7" max="7" width="11.5" customWidth="1"/>
    <col min="8" max="8" width="10.625" customWidth="1"/>
    <col min="9" max="9" width="14.75" customWidth="1"/>
  </cols>
  <sheetData>
    <row r="1" spans="1:8" ht="73.5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s="4">
        <v>10</v>
      </c>
      <c r="B2" s="4" t="s">
        <v>10</v>
      </c>
      <c r="C2" s="8">
        <v>100</v>
      </c>
      <c r="D2" s="9">
        <v>30</v>
      </c>
      <c r="E2" s="8">
        <f>C2*D2</f>
        <v>3000</v>
      </c>
      <c r="F2" s="8">
        <f>10%*E2</f>
        <v>300</v>
      </c>
      <c r="G2" s="8">
        <f>E2-F2</f>
        <v>2700</v>
      </c>
      <c r="H2" s="5" t="str">
        <f>IF(G2&gt;=2000,"المبيعات مرتفعة","المبيعات منخفضة")</f>
        <v>المبيعات مرتفعة</v>
      </c>
    </row>
    <row r="3" spans="1:8" x14ac:dyDescent="0.2">
      <c r="A3" s="4">
        <v>20</v>
      </c>
      <c r="B3" s="4" t="s">
        <v>11</v>
      </c>
      <c r="C3" s="8">
        <v>150</v>
      </c>
      <c r="D3" s="9">
        <v>7</v>
      </c>
      <c r="E3" s="8">
        <f t="shared" ref="E3:E9" si="0">C3*D3</f>
        <v>1050</v>
      </c>
      <c r="F3" s="8">
        <f t="shared" ref="F3:F9" si="1">10%*E3</f>
        <v>105</v>
      </c>
      <c r="G3" s="8">
        <f t="shared" ref="G3:G9" si="2">E3-F3</f>
        <v>945</v>
      </c>
      <c r="H3" s="5" t="str">
        <f t="shared" ref="H3:H9" si="3">IF(G3&gt;=2000,"المبيعات مرتفعة","المبيعات منخفضة")</f>
        <v>المبيعات منخفضة</v>
      </c>
    </row>
    <row r="4" spans="1:8" x14ac:dyDescent="0.2">
      <c r="A4" s="4">
        <v>30</v>
      </c>
      <c r="B4" s="4" t="s">
        <v>12</v>
      </c>
      <c r="C4" s="8">
        <v>200</v>
      </c>
      <c r="D4" s="9">
        <v>5</v>
      </c>
      <c r="E4" s="8">
        <f t="shared" si="0"/>
        <v>1000</v>
      </c>
      <c r="F4" s="8">
        <f t="shared" si="1"/>
        <v>100</v>
      </c>
      <c r="G4" s="8">
        <f t="shared" si="2"/>
        <v>900</v>
      </c>
      <c r="H4" s="5" t="str">
        <f t="shared" si="3"/>
        <v>المبيعات منخفضة</v>
      </c>
    </row>
    <row r="5" spans="1:8" x14ac:dyDescent="0.2">
      <c r="A5" s="4">
        <v>40</v>
      </c>
      <c r="B5" s="4" t="s">
        <v>13</v>
      </c>
      <c r="C5" s="8">
        <v>100</v>
      </c>
      <c r="D5" s="9">
        <v>25</v>
      </c>
      <c r="E5" s="8">
        <f t="shared" si="0"/>
        <v>2500</v>
      </c>
      <c r="F5" s="8">
        <f t="shared" si="1"/>
        <v>250</v>
      </c>
      <c r="G5" s="8">
        <f t="shared" si="2"/>
        <v>2250</v>
      </c>
      <c r="H5" s="5" t="str">
        <f t="shared" si="3"/>
        <v>المبيعات مرتفعة</v>
      </c>
    </row>
    <row r="6" spans="1:8" x14ac:dyDescent="0.2">
      <c r="A6" s="4">
        <v>50</v>
      </c>
      <c r="B6" s="4" t="s">
        <v>14</v>
      </c>
      <c r="C6" s="8">
        <v>75</v>
      </c>
      <c r="D6" s="9">
        <v>30</v>
      </c>
      <c r="E6" s="8">
        <f t="shared" si="0"/>
        <v>2250</v>
      </c>
      <c r="F6" s="8">
        <f t="shared" si="1"/>
        <v>225</v>
      </c>
      <c r="G6" s="8">
        <f t="shared" si="2"/>
        <v>2025</v>
      </c>
      <c r="H6" s="5" t="str">
        <f t="shared" si="3"/>
        <v>المبيعات مرتفعة</v>
      </c>
    </row>
    <row r="7" spans="1:8" x14ac:dyDescent="0.2">
      <c r="A7" s="4">
        <v>60</v>
      </c>
      <c r="B7" s="4" t="s">
        <v>15</v>
      </c>
      <c r="C7" s="8">
        <v>50</v>
      </c>
      <c r="D7" s="9">
        <v>10</v>
      </c>
      <c r="E7" s="8">
        <f t="shared" si="0"/>
        <v>500</v>
      </c>
      <c r="F7" s="8">
        <f t="shared" si="1"/>
        <v>50</v>
      </c>
      <c r="G7" s="8">
        <f t="shared" si="2"/>
        <v>450</v>
      </c>
      <c r="H7" s="5" t="str">
        <f t="shared" si="3"/>
        <v>المبيعات منخفضة</v>
      </c>
    </row>
    <row r="8" spans="1:8" x14ac:dyDescent="0.2">
      <c r="A8" s="4">
        <v>70</v>
      </c>
      <c r="B8" s="4" t="s">
        <v>16</v>
      </c>
      <c r="C8" s="8">
        <v>50</v>
      </c>
      <c r="D8" s="9">
        <v>8</v>
      </c>
      <c r="E8" s="8">
        <f t="shared" si="0"/>
        <v>400</v>
      </c>
      <c r="F8" s="8">
        <f t="shared" si="1"/>
        <v>40</v>
      </c>
      <c r="G8" s="8">
        <f t="shared" si="2"/>
        <v>360</v>
      </c>
      <c r="H8" s="5" t="str">
        <f t="shared" si="3"/>
        <v>المبيعات منخفضة</v>
      </c>
    </row>
    <row r="9" spans="1:8" x14ac:dyDescent="0.2">
      <c r="A9" s="4">
        <v>80</v>
      </c>
      <c r="B9" s="4" t="s">
        <v>17</v>
      </c>
      <c r="C9" s="8">
        <v>20</v>
      </c>
      <c r="D9" s="9">
        <v>20</v>
      </c>
      <c r="E9" s="8">
        <f t="shared" si="0"/>
        <v>400</v>
      </c>
      <c r="F9" s="8">
        <f t="shared" si="1"/>
        <v>40</v>
      </c>
      <c r="G9" s="8">
        <f t="shared" si="2"/>
        <v>360</v>
      </c>
      <c r="H9" s="5" t="str">
        <f t="shared" si="3"/>
        <v>المبيعات منخفضة</v>
      </c>
    </row>
    <row r="10" spans="1:8" ht="20.100000000000001" customHeight="1" x14ac:dyDescent="0.25">
      <c r="A10" s="6" t="s">
        <v>8</v>
      </c>
      <c r="B10" s="6"/>
      <c r="C10" s="8">
        <f>MAX(C2:G9)</f>
        <v>3000</v>
      </c>
      <c r="D10" s="5"/>
      <c r="E10" s="5"/>
      <c r="F10" s="5"/>
      <c r="G10" s="5"/>
      <c r="H10" s="5"/>
    </row>
    <row r="11" spans="1:8" ht="20.100000000000001" customHeight="1" x14ac:dyDescent="0.25">
      <c r="A11" s="7" t="s">
        <v>9</v>
      </c>
      <c r="B11" s="7"/>
      <c r="C11" s="8">
        <f>MIN(C2:G9)</f>
        <v>5</v>
      </c>
      <c r="D11" s="5"/>
      <c r="E11" s="5"/>
      <c r="F11" s="5"/>
      <c r="G11" s="5"/>
      <c r="H11" s="5"/>
    </row>
  </sheetData>
  <mergeCells count="2">
    <mergeCell ref="A10:B10"/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2026-04-14T16:12:11Z</dcterms:created>
  <dcterms:modified xsi:type="dcterms:W3CDTF">2026-04-14T19:07:10Z</dcterms:modified>
</cp:coreProperties>
</file>