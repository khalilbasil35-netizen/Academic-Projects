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8_{CBA0EEC4-0F50-4559-AAE9-94C3736F6447}" xr6:coauthVersionLast="47" xr6:coauthVersionMax="47" xr10:uidLastSave="{00000000-0000-0000-0000-000000000000}"/>
  <bookViews>
    <workbookView xWindow="-120" yWindow="-120" windowWidth="24240" windowHeight="13140" xr2:uid="{3647385A-EFE5-4BBB-A6DC-78FB6C5A6D2B}"/>
  </bookViews>
  <sheets>
    <sheet name="الموظفي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C13" i="1"/>
  <c r="C12" i="1"/>
  <c r="C11" i="1"/>
  <c r="D10" i="1"/>
  <c r="F10" i="1" s="1"/>
  <c r="G10" i="1" s="1"/>
  <c r="D9" i="1"/>
  <c r="F9" i="1" s="1"/>
  <c r="G9" i="1" s="1"/>
  <c r="D8" i="1"/>
  <c r="F8" i="1" s="1"/>
  <c r="G8" i="1" s="1"/>
  <c r="D7" i="1"/>
  <c r="F7" i="1" s="1"/>
  <c r="G7" i="1" s="1"/>
  <c r="D6" i="1"/>
  <c r="F6" i="1" s="1"/>
  <c r="F12" i="1" l="1"/>
  <c r="F11" i="1"/>
  <c r="F13" i="1"/>
  <c r="G6" i="1"/>
  <c r="H17" i="1" s="1"/>
  <c r="E6" i="1"/>
  <c r="E7" i="1"/>
  <c r="E8" i="1"/>
  <c r="E9" i="1"/>
  <c r="E10" i="1"/>
  <c r="D11" i="1"/>
  <c r="D12" i="1"/>
  <c r="D13" i="1"/>
  <c r="E13" i="1" l="1"/>
  <c r="E12" i="1"/>
  <c r="H15" i="1" s="1"/>
  <c r="E11" i="1"/>
</calcChain>
</file>

<file path=xl/sharedStrings.xml><?xml version="1.0" encoding="utf-8"?>
<sst xmlns="http://schemas.openxmlformats.org/spreadsheetml/2006/main" count="17" uniqueCount="17">
  <si>
    <t xml:space="preserve">اسم الموظف </t>
  </si>
  <si>
    <t xml:space="preserve">الراتب </t>
  </si>
  <si>
    <t xml:space="preserve">بدل سكن </t>
  </si>
  <si>
    <t>الراتب الشهري</t>
  </si>
  <si>
    <t>الدخل السنوي</t>
  </si>
  <si>
    <t xml:space="preserve">الرتبة الوظيفة </t>
  </si>
  <si>
    <t>احمد</t>
  </si>
  <si>
    <t>علي</t>
  </si>
  <si>
    <t>محمود</t>
  </si>
  <si>
    <t>سهير</t>
  </si>
  <si>
    <t>رنا</t>
  </si>
  <si>
    <t>اعلى قيمة</t>
  </si>
  <si>
    <t xml:space="preserve">ادنى قيمة </t>
  </si>
  <si>
    <t>المتوسطات</t>
  </si>
  <si>
    <t xml:space="preserve">عدد الخانات الفارغة </t>
  </si>
  <si>
    <t>عدد الموظفين الكلي</t>
  </si>
  <si>
    <t>عدد الموظفين من نوع 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</si>
</sst>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ر.س.‏&quot;_-;\-* #,##0.00\ &quot;ر.س.‏&quot;_-;_-* &quot;-&quot;??\ &quot;ر.س.‏&quot;_-;_-@_-"/>
    <numFmt numFmtId="164" formatCode="_-* #,##0.0\ &quot;ر.س.‏&quot;_-;\-* #,##0.0\ &quot;ر.س.‏&quot;_-;_-* &quot;-&quot;??\ &quot;ر.س.‏&quot;_-;_-@_-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1668-8D95-482C-A83F-31795D011995}">
  <dimension ref="B4:H18"/>
  <sheetViews>
    <sheetView rightToLeft="1" tabSelected="1" workbookViewId="0">
      <selection activeCell="E15" sqref="E15"/>
    </sheetView>
  </sheetViews>
  <sheetFormatPr defaultRowHeight="14.25" x14ac:dyDescent="0.2"/>
  <cols>
    <col min="2" max="7" width="13.625" customWidth="1"/>
  </cols>
  <sheetData>
    <row r="4" spans="2:8" ht="15" thickBot="1" x14ac:dyDescent="0.25"/>
    <row r="5" spans="2:8" ht="30" customHeight="1" thickTop="1" thickBot="1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8" ht="20.100000000000001" customHeight="1" thickTop="1" thickBot="1" x14ac:dyDescent="0.25">
      <c r="B6" s="2" t="s">
        <v>6</v>
      </c>
      <c r="C6" s="3">
        <v>550</v>
      </c>
      <c r="D6" s="3">
        <f>C6*25%</f>
        <v>137.5</v>
      </c>
      <c r="E6" s="3">
        <f>C6+D6</f>
        <v>687.5</v>
      </c>
      <c r="F6" s="3">
        <f>(C6+D6)*12</f>
        <v>8250</v>
      </c>
      <c r="G6" s="2" t="str">
        <f>IF(F6&gt;=6000,"موظف ","فني ")</f>
        <v xml:space="preserve">موظف </v>
      </c>
    </row>
    <row r="7" spans="2:8" ht="20.100000000000001" customHeight="1" thickTop="1" thickBot="1" x14ac:dyDescent="0.25">
      <c r="B7" s="2" t="s">
        <v>7</v>
      </c>
      <c r="C7" s="3">
        <v>350</v>
      </c>
      <c r="D7" s="3">
        <f>C7*25%</f>
        <v>87.5</v>
      </c>
      <c r="E7" s="3">
        <f t="shared" ref="E7:E9" si="0">C7+D7</f>
        <v>437.5</v>
      </c>
      <c r="F7" s="3">
        <f t="shared" ref="F7:F10" si="1">(C7+D7)*12</f>
        <v>5250</v>
      </c>
      <c r="G7" s="2" t="str">
        <f t="shared" ref="G7:G10" si="2">IF(F7&gt;=6000,"موظف ","فني ")</f>
        <v xml:space="preserve">فني </v>
      </c>
    </row>
    <row r="8" spans="2:8" ht="20.100000000000001" customHeight="1" thickTop="1" thickBot="1" x14ac:dyDescent="0.25">
      <c r="B8" s="2" t="s">
        <v>8</v>
      </c>
      <c r="C8" s="3">
        <v>400</v>
      </c>
      <c r="D8" s="3">
        <f t="shared" ref="D8:D10" si="3">C8*25%</f>
        <v>100</v>
      </c>
      <c r="E8" s="3">
        <f t="shared" si="0"/>
        <v>500</v>
      </c>
      <c r="F8" s="3">
        <f t="shared" si="1"/>
        <v>6000</v>
      </c>
      <c r="G8" s="2" t="str">
        <f t="shared" si="2"/>
        <v xml:space="preserve">موظف </v>
      </c>
    </row>
    <row r="9" spans="2:8" ht="20.100000000000001" customHeight="1" thickTop="1" thickBot="1" x14ac:dyDescent="0.25">
      <c r="B9" s="2" t="s">
        <v>9</v>
      </c>
      <c r="C9" s="3">
        <v>360</v>
      </c>
      <c r="D9" s="3">
        <f t="shared" si="3"/>
        <v>90</v>
      </c>
      <c r="E9" s="3">
        <f t="shared" si="0"/>
        <v>450</v>
      </c>
      <c r="F9" s="3">
        <f t="shared" si="1"/>
        <v>5400</v>
      </c>
      <c r="G9" s="2" t="str">
        <f t="shared" si="2"/>
        <v xml:space="preserve">فني </v>
      </c>
    </row>
    <row r="10" spans="2:8" ht="20.100000000000001" customHeight="1" thickTop="1" thickBot="1" x14ac:dyDescent="0.25">
      <c r="B10" s="4" t="s">
        <v>10</v>
      </c>
      <c r="C10" s="5">
        <v>800</v>
      </c>
      <c r="D10" s="3">
        <f t="shared" si="3"/>
        <v>200</v>
      </c>
      <c r="E10" s="3">
        <f>C10+D10</f>
        <v>1000</v>
      </c>
      <c r="F10" s="3">
        <f t="shared" si="1"/>
        <v>12000</v>
      </c>
      <c r="G10" s="2" t="str">
        <f t="shared" si="2"/>
        <v xml:space="preserve">موظف </v>
      </c>
    </row>
    <row r="11" spans="2:8" ht="20.100000000000001" customHeight="1" thickBot="1" x14ac:dyDescent="0.25">
      <c r="B11" s="6" t="s">
        <v>11</v>
      </c>
      <c r="C11" s="7">
        <f>MAX(C6:C10)</f>
        <v>800</v>
      </c>
      <c r="D11" s="7">
        <f t="shared" ref="D11:F11" si="4">MAX(D6:D10)</f>
        <v>200</v>
      </c>
      <c r="E11" s="7">
        <f t="shared" si="4"/>
        <v>1000</v>
      </c>
      <c r="F11" s="7">
        <f t="shared" si="4"/>
        <v>12000</v>
      </c>
    </row>
    <row r="12" spans="2:8" ht="20.100000000000001" customHeight="1" thickBot="1" x14ac:dyDescent="0.25">
      <c r="B12" s="6" t="s">
        <v>12</v>
      </c>
      <c r="C12" s="7">
        <f>MIN(C6:C10)</f>
        <v>350</v>
      </c>
      <c r="D12" s="7">
        <f t="shared" ref="D12:F12" si="5">MIN(D6:D10)</f>
        <v>87.5</v>
      </c>
      <c r="E12" s="7">
        <f t="shared" si="5"/>
        <v>437.5</v>
      </c>
      <c r="F12" s="7">
        <f t="shared" si="5"/>
        <v>5250</v>
      </c>
    </row>
    <row r="13" spans="2:8" ht="20.100000000000001" customHeight="1" thickBot="1" x14ac:dyDescent="0.25">
      <c r="B13" s="6" t="s">
        <v>13</v>
      </c>
      <c r="C13" s="7">
        <f>AVERAGE(C6:C10)</f>
        <v>492</v>
      </c>
      <c r="D13" s="7">
        <f t="shared" ref="D13:E13" si="6">AVERAGE(D6:D10)</f>
        <v>123</v>
      </c>
      <c r="E13" s="7">
        <f t="shared" si="6"/>
        <v>615</v>
      </c>
      <c r="F13" s="7">
        <f>AVERAGE(F6:F10)</f>
        <v>7380</v>
      </c>
    </row>
    <row r="14" spans="2:8" ht="20.100000000000001" customHeight="1" thickBot="1" x14ac:dyDescent="0.25">
      <c r="B14" s="8"/>
      <c r="C14" s="9"/>
      <c r="D14" s="9"/>
      <c r="E14" s="9"/>
      <c r="F14" s="9"/>
      <c r="G14" s="8"/>
    </row>
    <row r="15" spans="2:8" ht="16.5" thickTop="1" thickBot="1" x14ac:dyDescent="0.25">
      <c r="F15" s="10" t="s">
        <v>14</v>
      </c>
      <c r="G15" s="10"/>
      <c r="H15" s="11">
        <f>COUNTA(C6:G13)</f>
        <v>37</v>
      </c>
    </row>
    <row r="16" spans="2:8" ht="16.5" thickTop="1" thickBot="1" x14ac:dyDescent="0.25">
      <c r="F16" s="10" t="s">
        <v>15</v>
      </c>
      <c r="G16" s="10"/>
      <c r="H16" s="11">
        <f>COUNTA(B6:B10)</f>
        <v>5</v>
      </c>
    </row>
    <row r="17" spans="6:8" ht="16.5" thickTop="1" thickBot="1" x14ac:dyDescent="0.25">
      <c r="F17" s="10" t="s">
        <v>16</v>
      </c>
      <c r="G17" s="10"/>
      <c r="H17" s="11">
        <f>COUNTIF(G6:G10,G9)</f>
        <v>2</v>
      </c>
    </row>
    <row r="18" spans="6:8" ht="15" thickTop="1" x14ac:dyDescent="0.2"/>
  </sheetData>
  <mergeCells count="3">
    <mergeCell ref="F15:G15"/>
    <mergeCell ref="F16:G16"/>
    <mergeCell ref="F17:G17"/>
  </mergeCells>
  <conditionalFormatting sqref="C6:C10">
    <cfRule type="cellIs" dxfId="2" priority="1" operator="equal">
      <formula>400</formula>
    </cfRule>
    <cfRule type="cellIs" dxfId="1" priority="2" operator="lessThan">
      <formula>400</formula>
    </cfRule>
    <cfRule type="cellIs" dxfId="0" priority="3" operator="greaterThan">
      <formula>400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2026-04-16T10:19:33Z</dcterms:created>
  <dcterms:modified xsi:type="dcterms:W3CDTF">2026-04-16T10:22:00Z</dcterms:modified>
</cp:coreProperties>
</file>