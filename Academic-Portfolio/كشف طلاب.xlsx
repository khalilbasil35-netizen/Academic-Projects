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13_ncr:1_{9AE88FD9-2DD6-4182-BDE4-9F13FE90B89D}" xr6:coauthVersionLast="47" xr6:coauthVersionMax="47" xr10:uidLastSave="{00000000-0000-0000-0000-000000000000}"/>
  <bookViews>
    <workbookView xWindow="-120" yWindow="-120" windowWidth="24240" windowHeight="13140" xr2:uid="{ED31155D-41C6-4A45-9574-ED6E4D8F57A3}"/>
  </bookViews>
  <sheets>
    <sheet name="ترتيب حسب المعدل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A10" i="1"/>
  <c r="B9" i="2"/>
  <c r="B8" i="2"/>
  <c r="H7" i="2"/>
  <c r="G7" i="2"/>
  <c r="F7" i="2"/>
  <c r="H6" i="2"/>
  <c r="G6" i="2"/>
  <c r="F6" i="2"/>
  <c r="H5" i="2"/>
  <c r="G5" i="2"/>
  <c r="F5" i="2"/>
  <c r="F4" i="2"/>
  <c r="H4" i="2" s="1"/>
  <c r="F3" i="2"/>
  <c r="H3" i="2" s="1"/>
  <c r="H2" i="2"/>
  <c r="G2" i="2"/>
  <c r="F2" i="2"/>
  <c r="B9" i="1"/>
  <c r="B8" i="1"/>
  <c r="F4" i="1" s="1"/>
  <c r="F3" i="1"/>
  <c r="G3" i="1" s="1"/>
  <c r="F7" i="1"/>
  <c r="G7" i="1" s="1"/>
  <c r="F5" i="1"/>
  <c r="H5" i="1" s="1"/>
  <c r="F2" i="1"/>
  <c r="G2" i="1" s="1"/>
  <c r="F6" i="1"/>
  <c r="H6" i="1" s="1"/>
  <c r="G4" i="2" l="1"/>
  <c r="G3" i="2"/>
  <c r="G6" i="1"/>
  <c r="H7" i="1"/>
  <c r="H4" i="1"/>
  <c r="G4" i="1"/>
  <c r="H2" i="1"/>
  <c r="H3" i="1"/>
  <c r="G5" i="1"/>
</calcChain>
</file>

<file path=xl/sharedStrings.xml><?xml version="1.0" encoding="utf-8"?>
<sst xmlns="http://schemas.openxmlformats.org/spreadsheetml/2006/main" count="31" uniqueCount="16">
  <si>
    <t>الاسم</t>
  </si>
  <si>
    <t>اللغة العربية</t>
  </si>
  <si>
    <t xml:space="preserve">اللغة الإنجليزية </t>
  </si>
  <si>
    <t>الرياضيات</t>
  </si>
  <si>
    <t>علم النفس</t>
  </si>
  <si>
    <t>المعدل</t>
  </si>
  <si>
    <t>حالة الطالب</t>
  </si>
  <si>
    <t>التقدير</t>
  </si>
  <si>
    <t>وليد خالد</t>
  </si>
  <si>
    <t>محمد مالك</t>
  </si>
  <si>
    <t>صالح مهدي</t>
  </si>
  <si>
    <t>اسعد كريم</t>
  </si>
  <si>
    <t>احمد عبد العزيز</t>
  </si>
  <si>
    <t>زينب محمد علي</t>
  </si>
  <si>
    <t>أعلى درجة</t>
  </si>
  <si>
    <t>أقل درجة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</si>
</sst>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'ترتيب حسب المعدل'!$A$1</c:f>
              <c:strCache>
                <c:ptCount val="1"/>
                <c:pt idx="0">
                  <c:v>الاسم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'ترتيب حسب المعدل'!$A$2:$A$7</c:f>
              <c:strCache>
                <c:ptCount val="6"/>
                <c:pt idx="0">
                  <c:v>زينب محمد علي</c:v>
                </c:pt>
                <c:pt idx="1">
                  <c:v>محمد مالك</c:v>
                </c:pt>
                <c:pt idx="2">
                  <c:v>صالح مهدي</c:v>
                </c:pt>
                <c:pt idx="3">
                  <c:v>احمد عبد العزيز</c:v>
                </c:pt>
                <c:pt idx="4">
                  <c:v>وليد خالد</c:v>
                </c:pt>
                <c:pt idx="5">
                  <c:v>اسعد كريم</c:v>
                </c:pt>
              </c:strCache>
            </c:strRef>
          </c:cat>
          <c:val>
            <c:numRef>
              <c:f>'ترتيب حسب المعدل'!$B$2:$B$7</c:f>
              <c:numCache>
                <c:formatCode>General</c:formatCode>
                <c:ptCount val="6"/>
                <c:pt idx="0">
                  <c:v>86</c:v>
                </c:pt>
                <c:pt idx="1">
                  <c:v>90</c:v>
                </c:pt>
                <c:pt idx="2">
                  <c:v>87</c:v>
                </c:pt>
                <c:pt idx="3">
                  <c:v>80</c:v>
                </c:pt>
                <c:pt idx="4">
                  <c:v>50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0-4F01-A1B0-51E5328E616F}"/>
            </c:ext>
          </c:extLst>
        </c:ser>
        <c:ser>
          <c:idx val="1"/>
          <c:order val="1"/>
          <c:tx>
            <c:strRef>
              <c:f>'ترتيب حسب المعدل'!$B$1</c:f>
              <c:strCache>
                <c:ptCount val="1"/>
                <c:pt idx="0">
                  <c:v>اللغة العربية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'ترتيب حسب المعدل'!$A$2:$A$7</c:f>
              <c:strCache>
                <c:ptCount val="6"/>
                <c:pt idx="0">
                  <c:v>زينب محمد علي</c:v>
                </c:pt>
                <c:pt idx="1">
                  <c:v>محمد مالك</c:v>
                </c:pt>
                <c:pt idx="2">
                  <c:v>صالح مهدي</c:v>
                </c:pt>
                <c:pt idx="3">
                  <c:v>احمد عبد العزيز</c:v>
                </c:pt>
                <c:pt idx="4">
                  <c:v>وليد خالد</c:v>
                </c:pt>
                <c:pt idx="5">
                  <c:v>اسعد كريم</c:v>
                </c:pt>
              </c:strCache>
            </c:strRef>
          </c:cat>
          <c:val>
            <c:numRef>
              <c:f>'ترتيب حسب المعدل'!$B$2:$B$7</c:f>
              <c:numCache>
                <c:formatCode>General</c:formatCode>
                <c:ptCount val="6"/>
                <c:pt idx="0">
                  <c:v>86</c:v>
                </c:pt>
                <c:pt idx="1">
                  <c:v>90</c:v>
                </c:pt>
                <c:pt idx="2">
                  <c:v>87</c:v>
                </c:pt>
                <c:pt idx="3">
                  <c:v>80</c:v>
                </c:pt>
                <c:pt idx="4">
                  <c:v>50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0-4F01-A1B0-51E5328E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972512"/>
        <c:axId val="386943232"/>
        <c:axId val="0"/>
      </c:bar3DChart>
      <c:catAx>
        <c:axId val="386972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86943232"/>
        <c:crosses val="autoZero"/>
        <c:auto val="1"/>
        <c:lblAlgn val="ctr"/>
        <c:lblOffset val="100"/>
        <c:noMultiLvlLbl val="0"/>
      </c:catAx>
      <c:valAx>
        <c:axId val="3869432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38697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الدرجات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'ترتيب حسب المعدل'!$A$1</c:f>
              <c:strCache>
                <c:ptCount val="1"/>
                <c:pt idx="0">
                  <c:v>الاسم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'ترتيب حسب المعدل'!$A$2:$A$7</c:f>
              <c:strCache>
                <c:ptCount val="6"/>
                <c:pt idx="0">
                  <c:v>زينب محمد علي</c:v>
                </c:pt>
                <c:pt idx="1">
                  <c:v>محمد مالك</c:v>
                </c:pt>
                <c:pt idx="2">
                  <c:v>صالح مهدي</c:v>
                </c:pt>
                <c:pt idx="3">
                  <c:v>احمد عبد العزيز</c:v>
                </c:pt>
                <c:pt idx="4">
                  <c:v>وليد خالد</c:v>
                </c:pt>
                <c:pt idx="5">
                  <c:v>اسعد كريم</c:v>
                </c:pt>
              </c:strCache>
            </c:strRef>
          </c:cat>
          <c:val>
            <c:numRef>
              <c:f>'ترتيب حسب المعدل'!$A$2:$A$7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D-4CAB-9E14-E796F5767984}"/>
            </c:ext>
          </c:extLst>
        </c:ser>
        <c:ser>
          <c:idx val="1"/>
          <c:order val="1"/>
          <c:tx>
            <c:strRef>
              <c:f>'ترتيب حسب المعدل'!$F$1</c:f>
              <c:strCache>
                <c:ptCount val="1"/>
                <c:pt idx="0">
                  <c:v>المعدل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'ترتيب حسب المعدل'!$F$2:$F$7</c:f>
              <c:numCache>
                <c:formatCode>General</c:formatCode>
                <c:ptCount val="6"/>
                <c:pt idx="0">
                  <c:v>86</c:v>
                </c:pt>
                <c:pt idx="1">
                  <c:v>84.666666666666671</c:v>
                </c:pt>
                <c:pt idx="2">
                  <c:v>76.666666666666671</c:v>
                </c:pt>
                <c:pt idx="3">
                  <c:v>70</c:v>
                </c:pt>
                <c:pt idx="4">
                  <c:v>62.333333333333336</c:v>
                </c:pt>
                <c:pt idx="5">
                  <c:v>33.333333333333336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D-4CAB-9E14-E796F576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92471136"/>
        <c:axId val="2092464416"/>
      </c:barChart>
      <c:catAx>
        <c:axId val="2092471136"/>
        <c:scaling>
          <c:orientation val="maxMin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2464416"/>
        <c:crosses val="autoZero"/>
        <c:auto val="1"/>
        <c:lblAlgn val="ctr"/>
        <c:lblOffset val="100"/>
        <c:noMultiLvlLbl val="0"/>
      </c:catAx>
      <c:valAx>
        <c:axId val="2092464416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247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علم النفس واللغة العربية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'ترتيب حسب المعدل'!$E$1</c:f>
              <c:strCache>
                <c:ptCount val="1"/>
                <c:pt idx="0">
                  <c:v>علم النفس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'ترتيب حسب المعدل'!$B$2:$B$7</c:f>
              <c:numCache>
                <c:formatCode>General</c:formatCode>
                <c:ptCount val="6"/>
                <c:pt idx="0">
                  <c:v>86</c:v>
                </c:pt>
                <c:pt idx="1">
                  <c:v>90</c:v>
                </c:pt>
                <c:pt idx="2">
                  <c:v>87</c:v>
                </c:pt>
                <c:pt idx="3">
                  <c:v>80</c:v>
                </c:pt>
                <c:pt idx="4">
                  <c:v>50</c:v>
                </c:pt>
                <c:pt idx="5">
                  <c:v>45</c:v>
                </c:pt>
              </c:numCache>
            </c:numRef>
          </c:cat>
          <c:val>
            <c:numRef>
              <c:f>'ترتيب حسب المعدل'!$E$2:$E$7</c:f>
              <c:numCache>
                <c:formatCode>General</c:formatCode>
                <c:ptCount val="6"/>
                <c:pt idx="0">
                  <c:v>86</c:v>
                </c:pt>
                <c:pt idx="1">
                  <c:v>50</c:v>
                </c:pt>
                <c:pt idx="2">
                  <c:v>54</c:v>
                </c:pt>
                <c:pt idx="3">
                  <c:v>90</c:v>
                </c:pt>
                <c:pt idx="4">
                  <c:v>98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A-40C5-8080-D232D1313887}"/>
            </c:ext>
          </c:extLst>
        </c:ser>
        <c:ser>
          <c:idx val="1"/>
          <c:order val="1"/>
          <c:tx>
            <c:strRef>
              <c:f>'ترتيب حسب المعدل'!$B$1</c:f>
              <c:strCache>
                <c:ptCount val="1"/>
                <c:pt idx="0">
                  <c:v>اللغة العربية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'ترتيب حسب المعدل'!$B$2:$B$7</c:f>
              <c:numCache>
                <c:formatCode>General</c:formatCode>
                <c:ptCount val="6"/>
                <c:pt idx="0">
                  <c:v>86</c:v>
                </c:pt>
                <c:pt idx="1">
                  <c:v>90</c:v>
                </c:pt>
                <c:pt idx="2">
                  <c:v>87</c:v>
                </c:pt>
                <c:pt idx="3">
                  <c:v>80</c:v>
                </c:pt>
                <c:pt idx="4">
                  <c:v>50</c:v>
                </c:pt>
                <c:pt idx="5">
                  <c:v>45</c:v>
                </c:pt>
              </c:numCache>
            </c:numRef>
          </c:cat>
          <c:val>
            <c:numRef>
              <c:f>'ترتيب حسب المعدل'!$B$2:$B$7</c:f>
              <c:numCache>
                <c:formatCode>General</c:formatCode>
                <c:ptCount val="6"/>
                <c:pt idx="0">
                  <c:v>86</c:v>
                </c:pt>
                <c:pt idx="1">
                  <c:v>90</c:v>
                </c:pt>
                <c:pt idx="2">
                  <c:v>87</c:v>
                </c:pt>
                <c:pt idx="3">
                  <c:v>80</c:v>
                </c:pt>
                <c:pt idx="4">
                  <c:v>50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A-40C5-8080-D232D1313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92499936"/>
        <c:axId val="2092500896"/>
      </c:barChart>
      <c:catAx>
        <c:axId val="2092499936"/>
        <c:scaling>
          <c:orientation val="maxMin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2500896"/>
        <c:crosses val="autoZero"/>
        <c:auto val="1"/>
        <c:lblAlgn val="ctr"/>
        <c:lblOffset val="100"/>
        <c:noMultiLvlLbl val="0"/>
      </c:catAx>
      <c:valAx>
        <c:axId val="2092500896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9249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4</xdr:col>
      <xdr:colOff>314325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628E3-1B02-EBDD-88A0-2958AAECC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557213</xdr:colOff>
      <xdr:row>12</xdr:row>
      <xdr:rowOff>171450</xdr:rowOff>
    </xdr:from>
    <xdr:to>
      <xdr:col>8</xdr:col>
      <xdr:colOff>252413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1E0F18-4438-E7F5-049F-30CD6F66F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437029</xdr:colOff>
      <xdr:row>12</xdr:row>
      <xdr:rowOff>158003</xdr:rowOff>
    </xdr:from>
    <xdr:to>
      <xdr:col>13</xdr:col>
      <xdr:colOff>672353</xdr:colOff>
      <xdr:row>28</xdr:row>
      <xdr:rowOff>32497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89C11-E08C-A8D1-5215-6CF646C91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1FFD-A4F3-4D4D-8C73-4874F4A275C6}">
  <dimension ref="A1:H11"/>
  <sheetViews>
    <sheetView rightToLeft="1" tabSelected="1" zoomScale="85" zoomScaleNormal="85" workbookViewId="0">
      <selection activeCell="E32" sqref="E32"/>
    </sheetView>
  </sheetViews>
  <sheetFormatPr defaultRowHeight="14.25" x14ac:dyDescent="0.2"/>
  <cols>
    <col min="1" max="1" width="14.625" customWidth="1"/>
    <col min="2" max="2" width="13.625" customWidth="1"/>
    <col min="3" max="3" width="14.125" customWidth="1"/>
    <col min="4" max="4" width="13.5" customWidth="1"/>
    <col min="5" max="5" width="12.875" customWidth="1"/>
    <col min="6" max="6" width="17.875" customWidth="1"/>
    <col min="7" max="7" width="18.625" customWidth="1"/>
    <col min="8" max="8" width="14.625" customWidth="1"/>
    <col min="9" max="9" width="15.25" customWidth="1"/>
    <col min="10" max="10" width="14.75" customWidth="1"/>
    <col min="11" max="11" width="9" customWidth="1"/>
  </cols>
  <sheetData>
    <row r="1" spans="1:8" ht="37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x14ac:dyDescent="0.25">
      <c r="A2" s="5" t="s">
        <v>13</v>
      </c>
      <c r="B2" s="2">
        <v>86</v>
      </c>
      <c r="C2" s="2">
        <v>77</v>
      </c>
      <c r="D2" s="2">
        <v>95</v>
      </c>
      <c r="E2" s="2">
        <v>86</v>
      </c>
      <c r="F2" s="3">
        <f t="shared" ref="F2:F7" si="0">AVERAGE(B2,C2,D2)</f>
        <v>86</v>
      </c>
      <c r="G2" s="1" t="str">
        <f t="shared" ref="G2:G7" si="1">IF(F2&gt;=60, "ناجح", "راسب")</f>
        <v>ناجح</v>
      </c>
      <c r="H2" s="1" t="str">
        <f t="shared" ref="H2:H7" si="2">IF(F2&gt;=90, "امتياز", IF(F2&gt;=80, "جيد جداً", IF(F2&gt;=70, "جيد", IF(F2&gt;=60, "ناجح", "راسب"))))</f>
        <v>جيد جداً</v>
      </c>
    </row>
    <row r="3" spans="1:8" ht="15" x14ac:dyDescent="0.25">
      <c r="A3" s="5" t="s">
        <v>9</v>
      </c>
      <c r="B3" s="2">
        <v>90</v>
      </c>
      <c r="C3" s="2">
        <v>77</v>
      </c>
      <c r="D3" s="2">
        <v>87</v>
      </c>
      <c r="E3" s="2">
        <v>50</v>
      </c>
      <c r="F3" s="3">
        <f t="shared" si="0"/>
        <v>84.666666666666671</v>
      </c>
      <c r="G3" s="1" t="str">
        <f t="shared" si="1"/>
        <v>ناجح</v>
      </c>
      <c r="H3" s="1" t="str">
        <f t="shared" si="2"/>
        <v>جيد جداً</v>
      </c>
    </row>
    <row r="4" spans="1:8" ht="15" x14ac:dyDescent="0.25">
      <c r="A4" s="5" t="s">
        <v>10</v>
      </c>
      <c r="B4" s="2">
        <v>87</v>
      </c>
      <c r="C4" s="2">
        <v>65</v>
      </c>
      <c r="D4" s="2">
        <v>78</v>
      </c>
      <c r="E4" s="2">
        <v>54</v>
      </c>
      <c r="F4" s="3">
        <f t="shared" si="0"/>
        <v>76.666666666666671</v>
      </c>
      <c r="G4" s="1" t="str">
        <f t="shared" si="1"/>
        <v>ناجح</v>
      </c>
      <c r="H4" s="1" t="str">
        <f t="shared" si="2"/>
        <v>جيد</v>
      </c>
    </row>
    <row r="5" spans="1:8" ht="15" x14ac:dyDescent="0.25">
      <c r="A5" s="5" t="s">
        <v>12</v>
      </c>
      <c r="B5" s="2">
        <v>80</v>
      </c>
      <c r="C5" s="2">
        <v>70</v>
      </c>
      <c r="D5" s="2">
        <v>60</v>
      </c>
      <c r="E5" s="2">
        <v>90</v>
      </c>
      <c r="F5" s="3">
        <f t="shared" si="0"/>
        <v>70</v>
      </c>
      <c r="G5" s="1" t="str">
        <f t="shared" si="1"/>
        <v>ناجح</v>
      </c>
      <c r="H5" s="1" t="str">
        <f t="shared" si="2"/>
        <v>جيد</v>
      </c>
    </row>
    <row r="6" spans="1:8" ht="15" x14ac:dyDescent="0.25">
      <c r="A6" s="5" t="s">
        <v>8</v>
      </c>
      <c r="B6" s="2">
        <v>50</v>
      </c>
      <c r="C6" s="2">
        <v>70</v>
      </c>
      <c r="D6" s="2">
        <v>67</v>
      </c>
      <c r="E6" s="2">
        <v>98</v>
      </c>
      <c r="F6" s="3">
        <f t="shared" si="0"/>
        <v>62.333333333333336</v>
      </c>
      <c r="G6" s="1" t="str">
        <f t="shared" si="1"/>
        <v>ناجح</v>
      </c>
      <c r="H6" s="1" t="str">
        <f t="shared" si="2"/>
        <v>ناجح</v>
      </c>
    </row>
    <row r="7" spans="1:8" ht="15" x14ac:dyDescent="0.25">
      <c r="A7" s="5" t="s">
        <v>11</v>
      </c>
      <c r="B7" s="2">
        <v>45</v>
      </c>
      <c r="C7" s="2">
        <v>25</v>
      </c>
      <c r="D7" s="2">
        <v>30</v>
      </c>
      <c r="E7" s="2">
        <v>60</v>
      </c>
      <c r="F7" s="3">
        <f t="shared" si="0"/>
        <v>33.333333333333336</v>
      </c>
      <c r="G7" s="1" t="str">
        <f t="shared" si="1"/>
        <v>راسب</v>
      </c>
      <c r="H7" s="1" t="str">
        <f t="shared" si="2"/>
        <v>راسب</v>
      </c>
    </row>
    <row r="8" spans="1:8" ht="15" x14ac:dyDescent="0.25">
      <c r="A8" s="5" t="s">
        <v>14</v>
      </c>
      <c r="B8" s="2">
        <f>MAX(B2:E7)</f>
        <v>98</v>
      </c>
      <c r="C8" s="1"/>
      <c r="D8" s="1"/>
      <c r="E8" s="1"/>
      <c r="F8" s="1"/>
      <c r="G8" s="1"/>
      <c r="H8" s="1"/>
    </row>
    <row r="9" spans="1:8" ht="15" x14ac:dyDescent="0.25">
      <c r="A9" s="5" t="s">
        <v>15</v>
      </c>
      <c r="B9" s="3">
        <f>MIN(B2:E7)</f>
        <v>25</v>
      </c>
      <c r="C9" s="1"/>
      <c r="D9" s="1"/>
      <c r="E9" s="1"/>
      <c r="F9" s="1"/>
      <c r="G9" s="1"/>
      <c r="H9" s="1"/>
    </row>
    <row r="10" spans="1:8" x14ac:dyDescent="0.2">
      <c r="A10">
        <f>COUNTA(A2:A7)</f>
        <v>6</v>
      </c>
      <c r="G10">
        <f>COUNTIF(G2:G7,"ناجح")</f>
        <v>5</v>
      </c>
    </row>
    <row r="11" spans="1:8" x14ac:dyDescent="0.2">
      <c r="G11">
        <f>COUNTIF(G2:G7, "راسب")</f>
        <v>1</v>
      </c>
    </row>
  </sheetData>
  <sortState xmlns:xlrd2="http://schemas.microsoft.com/office/spreadsheetml/2017/richdata2" ref="A2:H9">
    <sortCondition descending="1" ref="F2:F9"/>
  </sortState>
  <conditionalFormatting sqref="G1:G1048576">
    <cfRule type="containsText" dxfId="1" priority="2" operator="containsText" text="ناجح">
      <formula>NOT(ISERROR(SEARCH("ناجح",G1)))</formula>
    </cfRule>
  </conditionalFormatting>
  <conditionalFormatting sqref="G7">
    <cfRule type="containsText" dxfId="0" priority="1" operator="containsText" text="راسب">
      <formula>NOT(ISERROR(SEARCH("راسب",G7)))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C99A-9C0F-4C24-A7A4-432ED6AF41F2}">
  <dimension ref="A1:H9"/>
  <sheetViews>
    <sheetView rightToLeft="1" workbookViewId="0">
      <selection activeCell="B19" sqref="B19"/>
    </sheetView>
  </sheetViews>
  <sheetFormatPr defaultRowHeight="14.25" x14ac:dyDescent="0.2"/>
  <cols>
    <col min="1" max="1" width="12.5" customWidth="1"/>
    <col min="2" max="2" width="13.375" customWidth="1"/>
    <col min="3" max="3" width="16.5" customWidth="1"/>
    <col min="4" max="4" width="12" customWidth="1"/>
    <col min="5" max="6" width="12.875" customWidth="1"/>
    <col min="7" max="7" width="14.375" customWidth="1"/>
    <col min="8" max="8" width="12" customWidth="1"/>
  </cols>
  <sheetData>
    <row r="1" spans="1:8" ht="45" customHeight="1" x14ac:dyDescent="0.2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5" x14ac:dyDescent="0.25">
      <c r="A2" s="5" t="s">
        <v>12</v>
      </c>
      <c r="B2" s="2">
        <v>80</v>
      </c>
      <c r="C2" s="2">
        <v>70</v>
      </c>
      <c r="D2" s="2">
        <v>60</v>
      </c>
      <c r="E2" s="2">
        <v>90</v>
      </c>
      <c r="F2" s="3">
        <f t="shared" ref="F2:F7" si="0">AVERAGE(B2,C2,D2)</f>
        <v>70</v>
      </c>
      <c r="G2" s="1" t="str">
        <f t="shared" ref="G2:G7" si="1">IF(F2&gt;=60, "ناجح", "راسب")</f>
        <v>ناجح</v>
      </c>
      <c r="H2" s="1" t="str">
        <f t="shared" ref="H2:H7" si="2">IF(F2&gt;=90, "امتياز", IF(F2&gt;=80, "جيد جداً", IF(F2&gt;=70, "جيد", IF(F2&gt;=60, "ناجح", "راسب"))))</f>
        <v>جيد</v>
      </c>
    </row>
    <row r="3" spans="1:8" ht="15" x14ac:dyDescent="0.25">
      <c r="A3" s="5" t="s">
        <v>11</v>
      </c>
      <c r="B3" s="2">
        <v>45</v>
      </c>
      <c r="C3" s="2">
        <v>25</v>
      </c>
      <c r="D3" s="2">
        <v>30</v>
      </c>
      <c r="E3" s="2">
        <v>60</v>
      </c>
      <c r="F3" s="3">
        <f t="shared" si="0"/>
        <v>33.333333333333336</v>
      </c>
      <c r="G3" s="1" t="str">
        <f t="shared" si="1"/>
        <v>راسب</v>
      </c>
      <c r="H3" s="1" t="str">
        <f t="shared" si="2"/>
        <v>راسب</v>
      </c>
    </row>
    <row r="4" spans="1:8" ht="15" x14ac:dyDescent="0.25">
      <c r="A4" s="5" t="s">
        <v>13</v>
      </c>
      <c r="B4" s="2">
        <v>86</v>
      </c>
      <c r="C4" s="2">
        <v>77</v>
      </c>
      <c r="D4" s="2">
        <v>95</v>
      </c>
      <c r="E4" s="2">
        <v>86</v>
      </c>
      <c r="F4" s="3">
        <f t="shared" si="0"/>
        <v>86</v>
      </c>
      <c r="G4" s="1" t="str">
        <f t="shared" si="1"/>
        <v>ناجح</v>
      </c>
      <c r="H4" s="1" t="str">
        <f t="shared" si="2"/>
        <v>جيد جداً</v>
      </c>
    </row>
    <row r="5" spans="1:8" ht="15" x14ac:dyDescent="0.25">
      <c r="A5" s="5" t="s">
        <v>10</v>
      </c>
      <c r="B5" s="2">
        <v>87</v>
      </c>
      <c r="C5" s="2">
        <v>65</v>
      </c>
      <c r="D5" s="2">
        <v>78</v>
      </c>
      <c r="E5" s="2">
        <v>54</v>
      </c>
      <c r="F5" s="3">
        <f t="shared" si="0"/>
        <v>76.666666666666671</v>
      </c>
      <c r="G5" s="1" t="str">
        <f t="shared" si="1"/>
        <v>ناجح</v>
      </c>
      <c r="H5" s="1" t="str">
        <f t="shared" si="2"/>
        <v>جيد</v>
      </c>
    </row>
    <row r="6" spans="1:8" ht="15" x14ac:dyDescent="0.25">
      <c r="A6" s="5" t="s">
        <v>9</v>
      </c>
      <c r="B6" s="2">
        <v>90</v>
      </c>
      <c r="C6" s="2">
        <v>77</v>
      </c>
      <c r="D6" s="2">
        <v>87</v>
      </c>
      <c r="E6" s="2">
        <v>50</v>
      </c>
      <c r="F6" s="3">
        <f t="shared" si="0"/>
        <v>84.666666666666671</v>
      </c>
      <c r="G6" s="1" t="str">
        <f t="shared" si="1"/>
        <v>ناجح</v>
      </c>
      <c r="H6" s="1" t="str">
        <f t="shared" si="2"/>
        <v>جيد جداً</v>
      </c>
    </row>
    <row r="7" spans="1:8" ht="15" x14ac:dyDescent="0.25">
      <c r="A7" s="5" t="s">
        <v>8</v>
      </c>
      <c r="B7" s="2">
        <v>50</v>
      </c>
      <c r="C7" s="2">
        <v>70</v>
      </c>
      <c r="D7" s="2">
        <v>67</v>
      </c>
      <c r="E7" s="2">
        <v>98</v>
      </c>
      <c r="F7" s="3">
        <f t="shared" si="0"/>
        <v>62.333333333333336</v>
      </c>
      <c r="G7" s="1" t="str">
        <f t="shared" si="1"/>
        <v>ناجح</v>
      </c>
      <c r="H7" s="1" t="str">
        <f t="shared" si="2"/>
        <v>ناجح</v>
      </c>
    </row>
    <row r="8" spans="1:8" ht="15" x14ac:dyDescent="0.25">
      <c r="A8" s="5" t="s">
        <v>14</v>
      </c>
      <c r="B8" s="2">
        <f>MAX(B2:E7)</f>
        <v>98</v>
      </c>
      <c r="C8" s="1"/>
      <c r="D8" s="1"/>
      <c r="E8" s="1"/>
      <c r="F8" s="1"/>
      <c r="G8" s="1"/>
      <c r="H8" s="1"/>
    </row>
    <row r="9" spans="1:8" ht="15" x14ac:dyDescent="0.25">
      <c r="A9" s="5" t="s">
        <v>15</v>
      </c>
      <c r="B9" s="3">
        <f>MIN(B2:E7)</f>
        <v>25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ترتيب حسب المعدل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2026-04-14T19:07:13Z</dcterms:created>
  <dcterms:modified xsi:type="dcterms:W3CDTF">2026-04-15T09:46:05Z</dcterms:modified>
</cp:coreProperties>
</file>